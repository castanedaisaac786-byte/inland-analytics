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Tracker" sheetId="1" state="visible" r:id="rId3"/>
    <sheet name="Demographic Che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<sst xmlns="http://schemas.openxmlformats.org/spreadsheetml/2006/main" count="49" uniqueCount="38">
  <si>
    <t xml:space="preserve">Ceramic Coating Campaign - Daily Tracker</t>
  </si>
  <si>
    <t xml:space="preserve">Fill in yellow cells daily from Meta Ads Manager (+ your own DM/booking log). Everything else calculates automatically. CPM and Frequency are your early warning signals before enough messages have come in to judge cost-per-message directly.</t>
  </si>
  <si>
    <t xml:space="preserve">Date</t>
  </si>
  <si>
    <t xml:space="preserve">Spend</t>
  </si>
  <si>
    <t xml:space="preserve">Impressions</t>
  </si>
  <si>
    <t xml:space="preserve">Reach</t>
  </si>
  <si>
    <t xml:space="preserve">CPM</t>
  </si>
  <si>
    <t xml:space="preserve">Frequency</t>
  </si>
  <si>
    <t xml:space="preserve">Messages</t>
  </si>
  <si>
    <t xml:space="preserve">Cost/Msg</t>
  </si>
  <si>
    <t xml:space="preserve">Bookings</t>
  </si>
  <si>
    <t xml:space="preserve">Revenue</t>
  </si>
  <si>
    <t xml:space="preserve">Cost/Booking</t>
  </si>
  <si>
    <t xml:space="preserve">Msg-&gt;Booking %</t>
  </si>
  <si>
    <t xml:space="preserve">ROAS</t>
  </si>
  <si>
    <t xml:space="preserve">8/21/2026</t>
  </si>
  <si>
    <t xml:space="preserve">TOTALS</t>
  </si>
  <si>
    <t xml:space="preserve">Benchmarks to watch against:</t>
  </si>
  <si>
    <t xml:space="preserve">•  CPM trending down over first 1-2 days = good early sign, before messages prove it.</t>
  </si>
  <si>
    <t xml:space="preserve">•  Frequency: healthy range is 1-3. Under 1.5 (this account's historical pattern) risked people forgetting the ad before acting.</t>
  </si>
  <si>
    <t xml:space="preserve">•  Don't judge cost/message before ~$30-40 spent or 3+ days, whichever is longer.</t>
  </si>
  <si>
    <t xml:space="preserve">•  Learning phase: avoid editing anything before ~20-50 messages or day 4, whichever is later.</t>
  </si>
  <si>
    <t xml:space="preserve">•  Historical best real-volume campaigns: August Camp $1.50/msg, New Engagement Campaign $2.02/msg. Beat these = genuinely better creative.</t>
  </si>
  <si>
    <t xml:space="preserve">New Campaign vs. Historical Demographic Benchmark</t>
  </si>
  <si>
    <t xml:space="preserve">After a few days live, pull the Age/Gender breakdown from Ads Manager and log it in the yellow columns to see if this campaign matches the historical pattern (women 45+ cheapest).</t>
  </si>
  <si>
    <t xml:space="preserve">Age</t>
  </si>
  <si>
    <t xml:space="preserve">Gender</t>
  </si>
  <si>
    <t xml:space="preserve">Historical Cost/Msg</t>
  </si>
  <si>
    <t xml:space="preserve">New Campaign Messages</t>
  </si>
  <si>
    <t xml:space="preserve">New Campaign Spend</t>
  </si>
  <si>
    <t xml:space="preserve">New Campaign Cost/Msg</t>
  </si>
  <si>
    <t xml:space="preserve">55-64</t>
  </si>
  <si>
    <t xml:space="preserve">Female</t>
  </si>
  <si>
    <t xml:space="preserve">45-54</t>
  </si>
  <si>
    <t xml:space="preserve">65+</t>
  </si>
  <si>
    <t xml:space="preserve">Male</t>
  </si>
  <si>
    <t xml:space="preserve">35-44</t>
  </si>
  <si>
    <t xml:space="preserve">25-34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</si>
</sst>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"/>
    <numFmt numFmtId="167" formatCode="0.0%"/>
    <numFmt numFmtId="168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9" min="4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v>25</v>
      </c>
      <c r="C5" s="4" t="n">
        <v>2100</v>
      </c>
      <c r="D5" s="4" t="n">
        <v>1850</v>
      </c>
      <c r="E5" s="6" t="n">
        <f aca="false">IFERROR(B5/C5*1000,"-")</f>
        <v>11.9047619047619</v>
      </c>
      <c r="F5" s="7" t="n">
        <f aca="false">IFERROR(C5/D5,"-")</f>
        <v>1.13513513513514</v>
      </c>
      <c r="G5" s="4" t="n">
        <v>4</v>
      </c>
      <c r="H5" s="6" t="n">
        <f aca="false">IFERROR(B5/G5,"-")</f>
        <v>6.25</v>
      </c>
      <c r="I5" s="4" t="n">
        <v>1</v>
      </c>
      <c r="J5" s="5" t="n">
        <v>125</v>
      </c>
      <c r="K5" s="6" t="n">
        <f aca="false">IFERROR(B5/I5,"-")</f>
        <v>25</v>
      </c>
      <c r="L5" s="8" t="n">
        <f aca="false">IFERROR(I5/G5,"-")</f>
        <v>0.25</v>
      </c>
      <c r="M5" s="9" t="n">
        <f aca="false">IFERROR(J5/B5,"-")</f>
        <v>5</v>
      </c>
    </row>
    <row r="6" customFormat="false" ht="15" hidden="false" customHeight="false" outlineLevel="0" collapsed="false">
      <c r="A6" s="4"/>
      <c r="B6" s="5"/>
      <c r="C6" s="4"/>
      <c r="D6" s="4"/>
      <c r="E6" s="6" t="str">
        <f aca="false">IFERROR(B6/C6*1000,"-")</f>
        <v>-</v>
      </c>
      <c r="F6" s="7" t="str">
        <f aca="false">IFERROR(C6/D6,"-")</f>
        <v>-</v>
      </c>
      <c r="G6" s="4"/>
      <c r="H6" s="6" t="str">
        <f aca="false">IFERROR(B6/G6,"-")</f>
        <v>-</v>
      </c>
      <c r="I6" s="4"/>
      <c r="J6" s="5"/>
      <c r="K6" s="6" t="str">
        <f aca="false">IFERROR(B6/I6,"-")</f>
        <v>-</v>
      </c>
      <c r="L6" s="8" t="str">
        <f aca="false">IFERROR(I6/G6,"-")</f>
        <v>-</v>
      </c>
      <c r="M6" s="9" t="str">
        <f aca="false">IFERROR(J6/B6,"-")</f>
        <v>-</v>
      </c>
    </row>
    <row r="7" customFormat="false" ht="15" hidden="false" customHeight="false" outlineLevel="0" collapsed="false">
      <c r="A7" s="4"/>
      <c r="B7" s="5"/>
      <c r="C7" s="4"/>
      <c r="D7" s="4"/>
      <c r="E7" s="6" t="str">
        <f aca="false">IFERROR(B7/C7*1000,"-")</f>
        <v>-</v>
      </c>
      <c r="F7" s="7" t="str">
        <f aca="false">IFERROR(C7/D7,"-")</f>
        <v>-</v>
      </c>
      <c r="G7" s="4"/>
      <c r="H7" s="6" t="str">
        <f aca="false">IFERROR(B7/G7,"-")</f>
        <v>-</v>
      </c>
      <c r="I7" s="4"/>
      <c r="J7" s="5"/>
      <c r="K7" s="6" t="str">
        <f aca="false">IFERROR(B7/I7,"-")</f>
        <v>-</v>
      </c>
      <c r="L7" s="8" t="str">
        <f aca="false">IFERROR(I7/G7,"-")</f>
        <v>-</v>
      </c>
      <c r="M7" s="9" t="str">
        <f aca="false">IFERROR(J7/B7,"-")</f>
        <v>-</v>
      </c>
    </row>
    <row r="8" customFormat="false" ht="15" hidden="false" customHeight="false" outlineLevel="0" collapsed="false">
      <c r="A8" s="4"/>
      <c r="B8" s="5"/>
      <c r="C8" s="4"/>
      <c r="D8" s="4"/>
      <c r="E8" s="6" t="str">
        <f aca="false">IFERROR(B8/C8*1000,"-")</f>
        <v>-</v>
      </c>
      <c r="F8" s="7" t="str">
        <f aca="false">IFERROR(C8/D8,"-")</f>
        <v>-</v>
      </c>
      <c r="G8" s="4"/>
      <c r="H8" s="6" t="str">
        <f aca="false">IFERROR(B8/G8,"-")</f>
        <v>-</v>
      </c>
      <c r="I8" s="4"/>
      <c r="J8" s="5"/>
      <c r="K8" s="6" t="str">
        <f aca="false">IFERROR(B8/I8,"-")</f>
        <v>-</v>
      </c>
      <c r="L8" s="8" t="str">
        <f aca="false">IFERROR(I8/G8,"-")</f>
        <v>-</v>
      </c>
      <c r="M8" s="9" t="str">
        <f aca="false">IFERROR(J8/B8,"-")</f>
        <v>-</v>
      </c>
    </row>
    <row r="9" customFormat="false" ht="15" hidden="false" customHeight="false" outlineLevel="0" collapsed="false">
      <c r="A9" s="4"/>
      <c r="B9" s="5"/>
      <c r="C9" s="4"/>
      <c r="D9" s="4"/>
      <c r="E9" s="6" t="str">
        <f aca="false">IFERROR(B9/C9*1000,"-")</f>
        <v>-</v>
      </c>
      <c r="F9" s="7" t="str">
        <f aca="false">IFERROR(C9/D9,"-")</f>
        <v>-</v>
      </c>
      <c r="G9" s="4"/>
      <c r="H9" s="6" t="str">
        <f aca="false">IFERROR(B9/G9,"-")</f>
        <v>-</v>
      </c>
      <c r="I9" s="4"/>
      <c r="J9" s="5"/>
      <c r="K9" s="6" t="str">
        <f aca="false">IFERROR(B9/I9,"-")</f>
        <v>-</v>
      </c>
      <c r="L9" s="8" t="str">
        <f aca="false">IFERROR(I9/G9,"-")</f>
        <v>-</v>
      </c>
      <c r="M9" s="9" t="str">
        <f aca="false">IFERROR(J9/B9,"-")</f>
        <v>-</v>
      </c>
    </row>
    <row r="10" customFormat="false" ht="15" hidden="false" customHeight="false" outlineLevel="0" collapsed="false">
      <c r="A10" s="4"/>
      <c r="B10" s="5"/>
      <c r="C10" s="4"/>
      <c r="D10" s="4"/>
      <c r="E10" s="6" t="str">
        <f aca="false">IFERROR(B10/C10*1000,"-")</f>
        <v>-</v>
      </c>
      <c r="F10" s="7" t="str">
        <f aca="false">IFERROR(C10/D10,"-")</f>
        <v>-</v>
      </c>
      <c r="G10" s="4"/>
      <c r="H10" s="6" t="str">
        <f aca="false">IFERROR(B10/G10,"-")</f>
        <v>-</v>
      </c>
      <c r="I10" s="4"/>
      <c r="J10" s="5"/>
      <c r="K10" s="6" t="str">
        <f aca="false">IFERROR(B10/I10,"-")</f>
        <v>-</v>
      </c>
      <c r="L10" s="8" t="str">
        <f aca="false">IFERROR(I10/G10,"-")</f>
        <v>-</v>
      </c>
      <c r="M10" s="9" t="str">
        <f aca="false">IFERROR(J10/B10,"-")</f>
        <v>-</v>
      </c>
    </row>
    <row r="11" customFormat="false" ht="15" hidden="false" customHeight="false" outlineLevel="0" collapsed="false">
      <c r="A11" s="4"/>
      <c r="B11" s="5"/>
      <c r="C11" s="4"/>
      <c r="D11" s="4"/>
      <c r="E11" s="6" t="str">
        <f aca="false">IFERROR(B11/C11*1000,"-")</f>
        <v>-</v>
      </c>
      <c r="F11" s="7" t="str">
        <f aca="false">IFERROR(C11/D11,"-")</f>
        <v>-</v>
      </c>
      <c r="G11" s="4"/>
      <c r="H11" s="6" t="str">
        <f aca="false">IFERROR(B11/G11,"-")</f>
        <v>-</v>
      </c>
      <c r="I11" s="4"/>
      <c r="J11" s="5"/>
      <c r="K11" s="6" t="str">
        <f aca="false">IFERROR(B11/I11,"-")</f>
        <v>-</v>
      </c>
      <c r="L11" s="8" t="str">
        <f aca="false">IFERROR(I11/G11,"-")</f>
        <v>-</v>
      </c>
      <c r="M11" s="9" t="str">
        <f aca="false">IFERROR(J11/B11,"-")</f>
        <v>-</v>
      </c>
    </row>
    <row r="12" customFormat="false" ht="15" hidden="false" customHeight="false" outlineLevel="0" collapsed="false">
      <c r="A12" s="4"/>
      <c r="B12" s="5"/>
      <c r="C12" s="4"/>
      <c r="D12" s="4"/>
      <c r="E12" s="6" t="str">
        <f aca="false">IFERROR(B12/C12*1000,"-")</f>
        <v>-</v>
      </c>
      <c r="F12" s="7" t="str">
        <f aca="false">IFERROR(C12/D12,"-")</f>
        <v>-</v>
      </c>
      <c r="G12" s="4"/>
      <c r="H12" s="6" t="str">
        <f aca="false">IFERROR(B12/G12,"-")</f>
        <v>-</v>
      </c>
      <c r="I12" s="4"/>
      <c r="J12" s="5"/>
      <c r="K12" s="6" t="str">
        <f aca="false">IFERROR(B12/I12,"-")</f>
        <v>-</v>
      </c>
      <c r="L12" s="8" t="str">
        <f aca="false">IFERROR(I12/G12,"-")</f>
        <v>-</v>
      </c>
      <c r="M12" s="9" t="str">
        <f aca="false">IFERROR(J12/B12,"-")</f>
        <v>-</v>
      </c>
    </row>
    <row r="13" customFormat="false" ht="15" hidden="false" customHeight="false" outlineLevel="0" collapsed="false">
      <c r="A13" s="4"/>
      <c r="B13" s="5"/>
      <c r="C13" s="4"/>
      <c r="D13" s="4"/>
      <c r="E13" s="6" t="str">
        <f aca="false">IFERROR(B13/C13*1000,"-")</f>
        <v>-</v>
      </c>
      <c r="F13" s="7" t="str">
        <f aca="false">IFERROR(C13/D13,"-")</f>
        <v>-</v>
      </c>
      <c r="G13" s="4"/>
      <c r="H13" s="6" t="str">
        <f aca="false">IFERROR(B13/G13,"-")</f>
        <v>-</v>
      </c>
      <c r="I13" s="4"/>
      <c r="J13" s="5"/>
      <c r="K13" s="6" t="str">
        <f aca="false">IFERROR(B13/I13,"-")</f>
        <v>-</v>
      </c>
      <c r="L13" s="8" t="str">
        <f aca="false">IFERROR(I13/G13,"-")</f>
        <v>-</v>
      </c>
      <c r="M13" s="9" t="str">
        <f aca="false">IFERROR(J13/B13,"-")</f>
        <v>-</v>
      </c>
    </row>
    <row r="14" customFormat="false" ht="15" hidden="false" customHeight="false" outlineLevel="0" collapsed="false">
      <c r="A14" s="4"/>
      <c r="B14" s="5"/>
      <c r="C14" s="4"/>
      <c r="D14" s="4"/>
      <c r="E14" s="6" t="str">
        <f aca="false">IFERROR(B14/C14*1000,"-")</f>
        <v>-</v>
      </c>
      <c r="F14" s="7" t="str">
        <f aca="false">IFERROR(C14/D14,"-")</f>
        <v>-</v>
      </c>
      <c r="G14" s="4"/>
      <c r="H14" s="6" t="str">
        <f aca="false">IFERROR(B14/G14,"-")</f>
        <v>-</v>
      </c>
      <c r="I14" s="4"/>
      <c r="J14" s="5"/>
      <c r="K14" s="6" t="str">
        <f aca="false">IFERROR(B14/I14,"-")</f>
        <v>-</v>
      </c>
      <c r="L14" s="8" t="str">
        <f aca="false">IFERROR(I14/G14,"-")</f>
        <v>-</v>
      </c>
      <c r="M14" s="9" t="str">
        <f aca="false">IFERROR(J14/B14,"-")</f>
        <v>-</v>
      </c>
    </row>
    <row r="15" customFormat="false" ht="15" hidden="false" customHeight="false" outlineLevel="0" collapsed="false">
      <c r="A15" s="4"/>
      <c r="B15" s="5"/>
      <c r="C15" s="4"/>
      <c r="D15" s="4"/>
      <c r="E15" s="6" t="str">
        <f aca="false">IFERROR(B15/C15*1000,"-")</f>
        <v>-</v>
      </c>
      <c r="F15" s="7" t="str">
        <f aca="false">IFERROR(C15/D15,"-")</f>
        <v>-</v>
      </c>
      <c r="G15" s="4"/>
      <c r="H15" s="6" t="str">
        <f aca="false">IFERROR(B15/G15,"-")</f>
        <v>-</v>
      </c>
      <c r="I15" s="4"/>
      <c r="J15" s="5"/>
      <c r="K15" s="6" t="str">
        <f aca="false">IFERROR(B15/I15,"-")</f>
        <v>-</v>
      </c>
      <c r="L15" s="8" t="str">
        <f aca="false">IFERROR(I15/G15,"-")</f>
        <v>-</v>
      </c>
      <c r="M15" s="9" t="str">
        <f aca="false">IFERROR(J15/B15,"-")</f>
        <v>-</v>
      </c>
    </row>
    <row r="16" customFormat="false" ht="15" hidden="false" customHeight="false" outlineLevel="0" collapsed="false">
      <c r="A16" s="4"/>
      <c r="B16" s="5"/>
      <c r="C16" s="4"/>
      <c r="D16" s="4"/>
      <c r="E16" s="6" t="str">
        <f aca="false">IFERROR(B16/C16*1000,"-")</f>
        <v>-</v>
      </c>
      <c r="F16" s="7" t="str">
        <f aca="false">IFERROR(C16/D16,"-")</f>
        <v>-</v>
      </c>
      <c r="G16" s="4"/>
      <c r="H16" s="6" t="str">
        <f aca="false">IFERROR(B16/G16,"-")</f>
        <v>-</v>
      </c>
      <c r="I16" s="4"/>
      <c r="J16" s="5"/>
      <c r="K16" s="6" t="str">
        <f aca="false">IFERROR(B16/I16,"-")</f>
        <v>-</v>
      </c>
      <c r="L16" s="8" t="str">
        <f aca="false">IFERROR(I16/G16,"-")</f>
        <v>-</v>
      </c>
      <c r="M16" s="9" t="str">
        <f aca="false">IFERROR(J16/B16,"-")</f>
        <v>-</v>
      </c>
    </row>
    <row r="17" customFormat="false" ht="15" hidden="false" customHeight="false" outlineLevel="0" collapsed="false">
      <c r="A17" s="4"/>
      <c r="B17" s="5"/>
      <c r="C17" s="4"/>
      <c r="D17" s="4"/>
      <c r="E17" s="6" t="str">
        <f aca="false">IFERROR(B17/C17*1000,"-")</f>
        <v>-</v>
      </c>
      <c r="F17" s="7" t="str">
        <f aca="false">IFERROR(C17/D17,"-")</f>
        <v>-</v>
      </c>
      <c r="G17" s="4"/>
      <c r="H17" s="6" t="str">
        <f aca="false">IFERROR(B17/G17,"-")</f>
        <v>-</v>
      </c>
      <c r="I17" s="4"/>
      <c r="J17" s="5"/>
      <c r="K17" s="6" t="str">
        <f aca="false">IFERROR(B17/I17,"-")</f>
        <v>-</v>
      </c>
      <c r="L17" s="8" t="str">
        <f aca="false">IFERROR(I17/G17,"-")</f>
        <v>-</v>
      </c>
      <c r="M17" s="9" t="str">
        <f aca="false">IFERROR(J17/B17,"-")</f>
        <v>-</v>
      </c>
    </row>
    <row r="18" customFormat="false" ht="15" hidden="false" customHeight="false" outlineLevel="0" collapsed="false">
      <c r="A18" s="4"/>
      <c r="B18" s="5"/>
      <c r="C18" s="4"/>
      <c r="D18" s="4"/>
      <c r="E18" s="6" t="str">
        <f aca="false">IFERROR(B18/C18*1000,"-")</f>
        <v>-</v>
      </c>
      <c r="F18" s="7" t="str">
        <f aca="false">IFERROR(C18/D18,"-")</f>
        <v>-</v>
      </c>
      <c r="G18" s="4"/>
      <c r="H18" s="6" t="str">
        <f aca="false">IFERROR(B18/G18,"-")</f>
        <v>-</v>
      </c>
      <c r="I18" s="4"/>
      <c r="J18" s="5"/>
      <c r="K18" s="6" t="str">
        <f aca="false">IFERROR(B18/I18,"-")</f>
        <v>-</v>
      </c>
      <c r="L18" s="8" t="str">
        <f aca="false">IFERROR(I18/G18,"-")</f>
        <v>-</v>
      </c>
      <c r="M18" s="9" t="str">
        <f aca="false">IFERROR(J18/B18,"-")</f>
        <v>-</v>
      </c>
    </row>
    <row r="19" customFormat="false" ht="15" hidden="false" customHeight="false" outlineLevel="0" collapsed="false">
      <c r="A19" s="4"/>
      <c r="B19" s="5"/>
      <c r="C19" s="4"/>
      <c r="D19" s="4"/>
      <c r="E19" s="6" t="str">
        <f aca="false">IFERROR(B19/C19*1000,"-")</f>
        <v>-</v>
      </c>
      <c r="F19" s="7" t="str">
        <f aca="false">IFERROR(C19/D19,"-")</f>
        <v>-</v>
      </c>
      <c r="G19" s="4"/>
      <c r="H19" s="6" t="str">
        <f aca="false">IFERROR(B19/G19,"-")</f>
        <v>-</v>
      </c>
      <c r="I19" s="4"/>
      <c r="J19" s="5"/>
      <c r="K19" s="6" t="str">
        <f aca="false">IFERROR(B19/I19,"-")</f>
        <v>-</v>
      </c>
      <c r="L19" s="8" t="str">
        <f aca="false">IFERROR(I19/G19,"-")</f>
        <v>-</v>
      </c>
      <c r="M19" s="9" t="str">
        <f aca="false">IFERROR(J19/B19,"-")</f>
        <v>-</v>
      </c>
    </row>
    <row r="20" customFormat="false" ht="15" hidden="false" customHeight="false" outlineLevel="0" collapsed="false">
      <c r="A20" s="4"/>
      <c r="B20" s="5"/>
      <c r="C20" s="4"/>
      <c r="D20" s="4"/>
      <c r="E20" s="6" t="str">
        <f aca="false">IFERROR(B20/C20*1000,"-")</f>
        <v>-</v>
      </c>
      <c r="F20" s="7" t="str">
        <f aca="false">IFERROR(C20/D20,"-")</f>
        <v>-</v>
      </c>
      <c r="G20" s="4"/>
      <c r="H20" s="6" t="str">
        <f aca="false">IFERROR(B20/G20,"-")</f>
        <v>-</v>
      </c>
      <c r="I20" s="4"/>
      <c r="J20" s="5"/>
      <c r="K20" s="6" t="str">
        <f aca="false">IFERROR(B20/I20,"-")</f>
        <v>-</v>
      </c>
      <c r="L20" s="8" t="str">
        <f aca="false">IFERROR(I20/G20,"-")</f>
        <v>-</v>
      </c>
      <c r="M20" s="9" t="str">
        <f aca="false">IFERROR(J20/B20,"-")</f>
        <v>-</v>
      </c>
    </row>
    <row r="21" customFormat="false" ht="15" hidden="false" customHeight="false" outlineLevel="0" collapsed="false">
      <c r="A21" s="4"/>
      <c r="B21" s="5"/>
      <c r="C21" s="4"/>
      <c r="D21" s="4"/>
      <c r="E21" s="6" t="str">
        <f aca="false">IFERROR(B21/C21*1000,"-")</f>
        <v>-</v>
      </c>
      <c r="F21" s="7" t="str">
        <f aca="false">IFERROR(C21/D21,"-")</f>
        <v>-</v>
      </c>
      <c r="G21" s="4"/>
      <c r="H21" s="6" t="str">
        <f aca="false">IFERROR(B21/G21,"-")</f>
        <v>-</v>
      </c>
      <c r="I21" s="4"/>
      <c r="J21" s="5"/>
      <c r="K21" s="6" t="str">
        <f aca="false">IFERROR(B21/I21,"-")</f>
        <v>-</v>
      </c>
      <c r="L21" s="8" t="str">
        <f aca="false">IFERROR(I21/G21,"-")</f>
        <v>-</v>
      </c>
      <c r="M21" s="9" t="str">
        <f aca="false">IFERROR(J21/B21,"-")</f>
        <v>-</v>
      </c>
    </row>
    <row r="22" customFormat="false" ht="15" hidden="false" customHeight="false" outlineLevel="0" collapsed="false">
      <c r="A22" s="4"/>
      <c r="B22" s="5"/>
      <c r="C22" s="4"/>
      <c r="D22" s="4"/>
      <c r="E22" s="6" t="str">
        <f aca="false">IFERROR(B22/C22*1000,"-")</f>
        <v>-</v>
      </c>
      <c r="F22" s="7" t="str">
        <f aca="false">IFERROR(C22/D22,"-")</f>
        <v>-</v>
      </c>
      <c r="G22" s="4"/>
      <c r="H22" s="6" t="str">
        <f aca="false">IFERROR(B22/G22,"-")</f>
        <v>-</v>
      </c>
      <c r="I22" s="4"/>
      <c r="J22" s="5"/>
      <c r="K22" s="6" t="str">
        <f aca="false">IFERROR(B22/I22,"-")</f>
        <v>-</v>
      </c>
      <c r="L22" s="8" t="str">
        <f aca="false">IFERROR(I22/G22,"-")</f>
        <v>-</v>
      </c>
      <c r="M22" s="9" t="str">
        <f aca="false">IFERROR(J22/B22,"-")</f>
        <v>-</v>
      </c>
    </row>
    <row r="23" customFormat="false" ht="15" hidden="false" customHeight="false" outlineLevel="0" collapsed="false">
      <c r="A23" s="4"/>
      <c r="B23" s="5"/>
      <c r="C23" s="4"/>
      <c r="D23" s="4"/>
      <c r="E23" s="6" t="str">
        <f aca="false">IFERROR(B23/C23*1000,"-")</f>
        <v>-</v>
      </c>
      <c r="F23" s="7" t="str">
        <f aca="false">IFERROR(C23/D23,"-")</f>
        <v>-</v>
      </c>
      <c r="G23" s="4"/>
      <c r="H23" s="6" t="str">
        <f aca="false">IFERROR(B23/G23,"-")</f>
        <v>-</v>
      </c>
      <c r="I23" s="4"/>
      <c r="J23" s="5"/>
      <c r="K23" s="6" t="str">
        <f aca="false">IFERROR(B23/I23,"-")</f>
        <v>-</v>
      </c>
      <c r="L23" s="8" t="str">
        <f aca="false">IFERROR(I23/G23,"-")</f>
        <v>-</v>
      </c>
      <c r="M23" s="9" t="str">
        <f aca="false">IFERROR(J23/B23,"-")</f>
        <v>-</v>
      </c>
    </row>
    <row r="24" customFormat="false" ht="15" hidden="false" customHeight="false" outlineLevel="0" collapsed="false">
      <c r="A24" s="4"/>
      <c r="B24" s="5"/>
      <c r="C24" s="4"/>
      <c r="D24" s="4"/>
      <c r="E24" s="6" t="str">
        <f aca="false">IFERROR(B24/C24*1000,"-")</f>
        <v>-</v>
      </c>
      <c r="F24" s="7" t="str">
        <f aca="false">IFERROR(C24/D24,"-")</f>
        <v>-</v>
      </c>
      <c r="G24" s="4"/>
      <c r="H24" s="6" t="str">
        <f aca="false">IFERROR(B24/G24,"-")</f>
        <v>-</v>
      </c>
      <c r="I24" s="4"/>
      <c r="J24" s="5"/>
      <c r="K24" s="6" t="str">
        <f aca="false">IFERROR(B24/I24,"-")</f>
        <v>-</v>
      </c>
      <c r="L24" s="8" t="str">
        <f aca="false">IFERROR(I24/G24,"-")</f>
        <v>-</v>
      </c>
      <c r="M24" s="9" t="str">
        <f aca="false">IFERROR(J24/B24,"-")</f>
        <v>-</v>
      </c>
    </row>
    <row r="25" customFormat="false" ht="15" hidden="false" customHeight="false" outlineLevel="0" collapsed="false">
      <c r="A25" s="4"/>
      <c r="B25" s="5"/>
      <c r="C25" s="4"/>
      <c r="D25" s="4"/>
      <c r="E25" s="6" t="str">
        <f aca="false">IFERROR(B25/C25*1000,"-")</f>
        <v>-</v>
      </c>
      <c r="F25" s="7" t="str">
        <f aca="false">IFERROR(C25/D25,"-")</f>
        <v>-</v>
      </c>
      <c r="G25" s="4"/>
      <c r="H25" s="6" t="str">
        <f aca="false">IFERROR(B25/G25,"-")</f>
        <v>-</v>
      </c>
      <c r="I25" s="4"/>
      <c r="J25" s="5"/>
      <c r="K25" s="6" t="str">
        <f aca="false">IFERROR(B25/I25,"-")</f>
        <v>-</v>
      </c>
      <c r="L25" s="8" t="str">
        <f aca="false">IFERROR(I25/G25,"-")</f>
        <v>-</v>
      </c>
      <c r="M25" s="9" t="str">
        <f aca="false">IFERROR(J25/B25,"-")</f>
        <v>-</v>
      </c>
    </row>
    <row r="27" customFormat="false" ht="15" hidden="false" customHeight="false" outlineLevel="0" collapsed="false">
      <c r="A27" s="10" t="s">
        <v>16</v>
      </c>
      <c r="B27" s="11" t="n">
        <f aca="false">SUM(B5:B25)</f>
        <v>25</v>
      </c>
      <c r="C27" s="10" t="n">
        <f aca="false">SUM(C5:C25)</f>
        <v>2100</v>
      </c>
      <c r="D27" s="10" t="n">
        <f aca="false">SUM(D5:D25)</f>
        <v>1850</v>
      </c>
      <c r="E27" s="11" t="n">
        <f aca="false">IFERROR(B27/C27*1000,"-")</f>
        <v>11.9047619047619</v>
      </c>
      <c r="F27" s="12" t="n">
        <f aca="false">IFERROR(C27/D27,"-")</f>
        <v>1.13513513513514</v>
      </c>
      <c r="G27" s="10" t="n">
        <f aca="false">SUM(G5:G25)</f>
        <v>4</v>
      </c>
      <c r="H27" s="11" t="n">
        <f aca="false">IFERROR(B27/G27,"-")</f>
        <v>6.25</v>
      </c>
      <c r="I27" s="10" t="n">
        <f aca="false">SUM(I5:I25)</f>
        <v>1</v>
      </c>
      <c r="J27" s="11" t="n">
        <f aca="false">SUM(J5:J25)</f>
        <v>125</v>
      </c>
      <c r="K27" s="11" t="n">
        <f aca="false">IFERROR(B27/I27,"-")</f>
        <v>25</v>
      </c>
      <c r="L27" s="13" t="n">
        <f aca="false">IFERROR(I27/G27,"-")</f>
        <v>0.25</v>
      </c>
      <c r="M27" s="14" t="n">
        <f aca="false">IFERROR(J27/B27,"-")</f>
        <v>5</v>
      </c>
    </row>
    <row r="29" customFormat="false" ht="15" hidden="false" customHeight="false" outlineLevel="0" collapsed="false">
      <c r="A29" s="15" t="s">
        <v>17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customFormat="false" ht="15" hidden="false" customHeight="false" outlineLevel="0" collapsed="false">
      <c r="A30" s="16" t="s">
        <v>18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customFormat="false" ht="15" hidden="false" customHeight="false" outlineLevel="0" collapsed="false">
      <c r="A31" s="16" t="s">
        <v>19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customFormat="false" ht="15" hidden="false" customHeight="false" outlineLevel="0" collapsed="false">
      <c r="A32" s="16" t="s">
        <v>20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customFormat="false" ht="15" hidden="false" customHeight="false" outlineLevel="0" collapsed="false">
      <c r="A33" s="16" t="s">
        <v>21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customFormat="false" ht="15" hidden="false" customHeight="false" outlineLevel="0" collapsed="false">
      <c r="A34" s="16" t="s">
        <v>22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</sheetData>
  <mergeCells count="8">
    <mergeCell ref="A1:M1"/>
    <mergeCell ref="A2:M2"/>
    <mergeCell ref="A29:M29"/>
    <mergeCell ref="A30:M30"/>
    <mergeCell ref="A31:M31"/>
    <mergeCell ref="A32:M32"/>
    <mergeCell ref="A33:M33"/>
    <mergeCell ref="A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23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24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</row>
    <row r="5" customFormat="false" ht="15" hidden="false" customHeight="false" outlineLevel="0" collapsed="false">
      <c r="A5" s="17" t="s">
        <v>31</v>
      </c>
      <c r="B5" s="17" t="s">
        <v>32</v>
      </c>
      <c r="C5" s="18" t="n">
        <v>0.99</v>
      </c>
      <c r="D5" s="4"/>
      <c r="E5" s="5"/>
      <c r="F5" s="6" t="str">
        <f aca="false">IFERROR(E5/D5,"-")</f>
        <v>-</v>
      </c>
    </row>
    <row r="6" customFormat="false" ht="15" hidden="false" customHeight="false" outlineLevel="0" collapsed="false">
      <c r="A6" s="17" t="s">
        <v>33</v>
      </c>
      <c r="B6" s="17" t="s">
        <v>32</v>
      </c>
      <c r="C6" s="18" t="n">
        <v>1.39</v>
      </c>
      <c r="D6" s="4"/>
      <c r="E6" s="5"/>
      <c r="F6" s="6" t="str">
        <f aca="false">IFERROR(E6/D6,"-")</f>
        <v>-</v>
      </c>
    </row>
    <row r="7" customFormat="false" ht="15" hidden="false" customHeight="false" outlineLevel="0" collapsed="false">
      <c r="A7" s="17" t="s">
        <v>34</v>
      </c>
      <c r="B7" s="17" t="s">
        <v>32</v>
      </c>
      <c r="C7" s="18" t="n">
        <v>1.54</v>
      </c>
      <c r="D7" s="4"/>
      <c r="E7" s="5"/>
      <c r="F7" s="6" t="str">
        <f aca="false">IFERROR(E7/D7,"-")</f>
        <v>-</v>
      </c>
    </row>
    <row r="8" customFormat="false" ht="15" hidden="false" customHeight="false" outlineLevel="0" collapsed="false">
      <c r="A8" s="17" t="s">
        <v>34</v>
      </c>
      <c r="B8" s="17" t="s">
        <v>35</v>
      </c>
      <c r="C8" s="18" t="n">
        <v>1.68</v>
      </c>
      <c r="D8" s="4"/>
      <c r="E8" s="5"/>
      <c r="F8" s="6" t="str">
        <f aca="false">IFERROR(E8/D8,"-")</f>
        <v>-</v>
      </c>
    </row>
    <row r="9" customFormat="false" ht="15" hidden="false" customHeight="false" outlineLevel="0" collapsed="false">
      <c r="A9" s="17" t="s">
        <v>31</v>
      </c>
      <c r="B9" s="17" t="s">
        <v>35</v>
      </c>
      <c r="C9" s="18" t="n">
        <v>1.83</v>
      </c>
      <c r="D9" s="4"/>
      <c r="E9" s="5"/>
      <c r="F9" s="6" t="str">
        <f aca="false">IFERROR(E9/D9,"-")</f>
        <v>-</v>
      </c>
    </row>
    <row r="10" customFormat="false" ht="15" hidden="false" customHeight="false" outlineLevel="0" collapsed="false">
      <c r="A10" s="17" t="s">
        <v>36</v>
      </c>
      <c r="B10" s="17" t="s">
        <v>32</v>
      </c>
      <c r="C10" s="18" t="n">
        <v>2.07</v>
      </c>
      <c r="D10" s="4"/>
      <c r="E10" s="5"/>
      <c r="F10" s="6" t="str">
        <f aca="false">IFERROR(E10/D10,"-")</f>
        <v>-</v>
      </c>
    </row>
    <row r="11" customFormat="false" ht="15" hidden="false" customHeight="false" outlineLevel="0" collapsed="false">
      <c r="A11" s="17" t="s">
        <v>37</v>
      </c>
      <c r="B11" s="17" t="s">
        <v>35</v>
      </c>
      <c r="C11" s="18" t="n">
        <v>2.32</v>
      </c>
      <c r="D11" s="4"/>
      <c r="E11" s="5"/>
      <c r="F11" s="6" t="str">
        <f aca="false">IFERROR(E11/D11,"-")</f>
        <v>-</v>
      </c>
    </row>
    <row r="12" customFormat="false" ht="15" hidden="false" customHeight="false" outlineLevel="0" collapsed="false">
      <c r="A12" s="17" t="s">
        <v>36</v>
      </c>
      <c r="B12" s="17" t="s">
        <v>35</v>
      </c>
      <c r="C12" s="18" t="n">
        <v>2.7</v>
      </c>
      <c r="D12" s="4"/>
      <c r="E12" s="5"/>
      <c r="F12" s="6" t="str">
        <f aca="false">IFERROR(E12/D12,"-")</f>
        <v>-</v>
      </c>
    </row>
    <row r="13" customFormat="false" ht="15" hidden="false" customHeight="false" outlineLevel="0" collapsed="false">
      <c r="A13" s="17" t="s">
        <v>33</v>
      </c>
      <c r="B13" s="17" t="s">
        <v>35</v>
      </c>
      <c r="C13" s="18" t="n">
        <v>3.13</v>
      </c>
      <c r="D13" s="4"/>
      <c r="E13" s="5"/>
      <c r="F13" s="6" t="str">
        <f aca="false">IFERROR(E13/D13,"-")</f>
        <v>-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2026-08-20T08:11:21Z</dcterms:created>
  <dc:creator>openpyxl</dc:creator>
  <dc:description/>
  <dc:language>en-US</dc:language>
  <cp:lastModifiedBy/>
  <dcterms:modified xsi:type="dcterms:W3CDTF">2026-08-20T08:11:21Z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