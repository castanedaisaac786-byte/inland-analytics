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t Campaigns" sheetId="1" state="visible" r:id="rId3"/>
    <sheet name="New Campaign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<sst xmlns="http://schemas.openxmlformats.org/spreadsheetml/2006/main" count="109" uniqueCount="84">
  <si>
    <t xml:space="preserve">Meta Ads - Past Campaign Performance</t>
  </si>
  <si>
    <t xml:space="preserve">Cleaned from the raw Ads Manager export. Nearly all campaigns are Messages-objective, so Results = messaging conversations. Ranked by cost per message (cheapest first), then by wasted spend for 0-result campaigns. 'big camp' is excluded below - it was a lead-form campaign, not Messages.</t>
  </si>
  <si>
    <t xml:space="preserve">Campaign</t>
  </si>
  <si>
    <t xml:space="preserve">Messages</t>
  </si>
  <si>
    <t xml:space="preserve">Amount Spent</t>
  </si>
  <si>
    <t xml:space="preserve">Cost / Message</t>
  </si>
  <si>
    <t xml:space="preserve">Reach</t>
  </si>
  <si>
    <t xml:space="preserve">Link Clicks</t>
  </si>
  <si>
    <t xml:space="preserve">Link CTR</t>
  </si>
  <si>
    <t xml:space="preserve">Verdict</t>
  </si>
  <si>
    <t xml:space="preserve">Notes</t>
  </si>
  <si>
    <t xml:space="preserve">Algae-filled post (v2 - small test)</t>
  </si>
  <si>
    <t xml:space="preserve">Scale</t>
  </si>
  <si>
    <t xml:space="preserve">Best $/result by far, but only $1.43 spent - barely tested. Scale this exact creative/targeting combo.</t>
  </si>
  <si>
    <t xml:space="preserve">Instagram post: "Turning a side..."</t>
  </si>
  <si>
    <t xml:space="preserve">Best overall: cheap, huge result count, strongest CTR (4.35%). Study this creative closely for the new campaign.</t>
  </si>
  <si>
    <t xml:space="preserve">Post: "Denise's reaction says..."</t>
  </si>
  <si>
    <t xml:space="preserve">Keep</t>
  </si>
  <si>
    <t xml:space="preserve">Good CTR (4.89% all-clicks), worth revisiting or remaking.</t>
  </si>
  <si>
    <t xml:space="preserve">New Engagement Campaign (1202...) #1</t>
  </si>
  <si>
    <t xml:space="preserve">Decent volume at reasonable cost.</t>
  </si>
  <si>
    <t xml:space="preserve">Deluxe Ad</t>
  </si>
  <si>
    <t xml:space="preserve">Good cost/result, but small sample (8 results).</t>
  </si>
  <si>
    <t xml:space="preserve">August Camp</t>
  </si>
  <si>
    <t xml:space="preserve">Highest raw result count (35) of any campaign, reasonable cost.</t>
  </si>
  <si>
    <t xml:space="preserve">New Engagement Campaign (1202...) #2</t>
  </si>
  <si>
    <t xml:space="preserve">Decent, slightly pricier per result than #1.</t>
  </si>
  <si>
    <t xml:space="preserve">Post: "Real results, real fee..."</t>
  </si>
  <si>
    <t xml:space="preserve">Watch</t>
  </si>
  <si>
    <t xml:space="preserve">Highest total spend of any campaign - moderate results for the money.</t>
  </si>
  <si>
    <t xml:space="preserve">Post: "Full step-by-step brea..."</t>
  </si>
  <si>
    <t xml:space="preserve">Cut</t>
  </si>
  <si>
    <t xml:space="preserve">Weakest link CTR (0.91%) of any tested campaign - creative likely didn't hook.</t>
  </si>
  <si>
    <t xml:space="preserve">Post: "Don't ignore your drai..."</t>
  </si>
  <si>
    <t xml:space="preserve">Middling cost per result relative to spend.</t>
  </si>
  <si>
    <t xml:space="preserve">Instagram post: "Think that pe..."</t>
  </si>
  <si>
    <t xml:space="preserve">Only 1 result despite decent CTR - targeting or offer likely mismatched. Possibly set to Reach by accident - confirm objective.</t>
  </si>
  <si>
    <t xml:space="preserve">New Engagement Campaign (1202...) #3</t>
  </si>
  <si>
    <t xml:space="preserve">Only 1 result for the spend. Possibly set to Reach by accident - confirm objective.</t>
  </si>
  <si>
    <t xml:space="preserve">Algae-filled post (v1)</t>
  </si>
  <si>
    <t xml:space="preserve">0 results despite spend - wasted budget on this version.</t>
  </si>
  <si>
    <t xml:space="preserve">Post: "JULY SPECIAL ALERT"</t>
  </si>
  <si>
    <t xml:space="preserve">0 results despite spend - wasted budget.</t>
  </si>
  <si>
    <t xml:space="preserve">New Engagement Campaign (1202...) #4</t>
  </si>
  <si>
    <t xml:space="preserve">0 results, $9.32 spent - cut this targeting/creative combo.</t>
  </si>
  <si>
    <t xml:space="preserve">New Engagement Campaign (1202...) #5</t>
  </si>
  <si>
    <t xml:space="preserve">Inconclusive</t>
  </si>
  <si>
    <t xml:space="preserve">0 results, but barely spent anything - not a real test.</t>
  </si>
  <si>
    <t xml:space="preserve">New Engagement Campaign - Copy</t>
  </si>
  <si>
    <t xml:space="preserve">Ignore</t>
  </si>
  <si>
    <t xml:space="preserve">Never really ran ($0.06 spent) - ignore.</t>
  </si>
  <si>
    <t xml:space="preserve">TOTAL / OVERALL</t>
  </si>
  <si>
    <t xml:space="preserve">Verdict key:</t>
  </si>
  <si>
    <t xml:space="preserve">Cheapest results - put more budget behind these exact creatives/audiences</t>
  </si>
  <si>
    <t xml:space="preserve">Solid performers - fine to keep running or lightly iterate on</t>
  </si>
  <si>
    <t xml:space="preserve">Middling - not broken, not great, don't scale blindly</t>
  </si>
  <si>
    <t xml:space="preserve">Weak CTR or wasted spend with 0 results - stop running as-is</t>
  </si>
  <si>
    <t xml:space="preserve">Inconclusive / Ignore</t>
  </si>
  <si>
    <t xml:space="preserve">Too little spend to judge, or never really ran</t>
  </si>
  <si>
    <t xml:space="preserve">Excluded from ranking (not a Messages result)</t>
  </si>
  <si>
    <t xml:space="preserve">big camp</t>
  </si>
  <si>
    <t xml:space="preserve">Excluded</t>
  </si>
  <si>
    <t xml:space="preserve">Lead-form campaign, not Messages objective - not comparable to cost-per-message above. The 1 result was Isaac's own test submission, not a real customer lead (per Isaac, not fully certain). Highest spend-to-actual-signal of anything in the account either way - avoid repeating this setup.</t>
  </si>
  <si>
    <t xml:space="preserve">Ceramic Coating Campaign - Messages to Bookings Tracker</t>
  </si>
  <si>
    <t xml:space="preserve">Fill in the yellow cells from Meta Ads Manager + your own DM log, one row per day (or per week). Everything else calculates automatically.</t>
  </si>
  <si>
    <t xml:space="preserve">Date</t>
  </si>
  <si>
    <t xml:space="preserve">Ad Spend</t>
  </si>
  <si>
    <t xml:space="preserve">Messages Started</t>
  </si>
  <si>
    <t xml:space="preserve">Replied</t>
  </si>
  <si>
    <t xml:space="preserve">Quotes Sent</t>
  </si>
  <si>
    <t xml:space="preserve">Bookings Confirmed</t>
  </si>
  <si>
    <t xml:space="preserve">Revenue Booked</t>
  </si>
  <si>
    <t xml:space="preserve">Cost / Booking</t>
  </si>
  <si>
    <t xml:space="preserve">Msg -&gt; Booking %</t>
  </si>
  <si>
    <t xml:space="preserve">ROAS</t>
  </si>
  <si>
    <t xml:space="preserve">8/19/2026</t>
  </si>
  <si>
    <t xml:space="preserve">TOTALS</t>
  </si>
  <si>
    <t xml:space="preserve">Legend:</t>
  </si>
  <si>
    <t xml:space="preserve">Yellow cells</t>
  </si>
  <si>
    <t xml:space="preserve">Fill these in yourself: Date, Ad Spend, Messages Started (from Meta), Replied, Quotes Sent, Bookings Confirmed, Revenue Booked (from your own tracking).</t>
  </si>
  <si>
    <t xml:space="preserve">White cells</t>
  </si>
  <si>
    <t xml:space="preserve">Calculate automatically: Cost/Message, Cost/Booking, Message-to-Booking %, ROAS. Don't type into these.</t>
  </si>
  <si>
    <t xml:space="preserve">Row 5</t>
  </si>
  <si>
    <t xml:space="preserve">Example row showing realistic values - overwrite it with your real first day's numbers.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</si>
</sst>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%"/>
    <numFmt numFmtId="167" formatCode="0.0%"/>
    <numFmt numFmtId="168" formatCode="0.0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1"/>
      <color rgb="FF375623"/>
      <name val="Arial"/>
      <family val="0"/>
      <charset val="1"/>
    </font>
    <font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CCC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7F7F7F"/>
      <rgbColor rgb="FF9999FF"/>
      <rgbColor rgb="FF993366"/>
      <rgbColor rgb="FFF2F2F2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2.35" hidden="false" customHeight="false" outlineLevel="0" collapsed="false">
      <c r="A5" s="4" t="s">
        <v>11</v>
      </c>
      <c r="B5" s="4" t="n">
        <v>9</v>
      </c>
      <c r="C5" s="5" t="n">
        <v>1.43</v>
      </c>
      <c r="D5" s="5" t="n">
        <f aca="false">IFERROR(C5/B5,"n/a - 0 results")</f>
        <v>0.158888888888889</v>
      </c>
      <c r="E5" s="4" t="n">
        <v>127</v>
      </c>
      <c r="F5" s="4" t="n">
        <v>2</v>
      </c>
      <c r="G5" s="6" t="n">
        <v>0.0154</v>
      </c>
      <c r="H5" s="7" t="s">
        <v>12</v>
      </c>
      <c r="I5" s="8" t="s">
        <v>13</v>
      </c>
    </row>
    <row r="6" customFormat="false" ht="22.35" hidden="false" customHeight="false" outlineLevel="0" collapsed="false">
      <c r="A6" s="4" t="s">
        <v>14</v>
      </c>
      <c r="B6" s="4" t="n">
        <v>180</v>
      </c>
      <c r="C6" s="5" t="n">
        <v>49.96</v>
      </c>
      <c r="D6" s="5" t="n">
        <f aca="false">IFERROR(C6/B6,"n/a - 0 results")</f>
        <v>0.277555555555556</v>
      </c>
      <c r="E6" s="4" t="n">
        <v>3259</v>
      </c>
      <c r="F6" s="4" t="n">
        <v>182</v>
      </c>
      <c r="G6" s="6" t="n">
        <v>0.0435</v>
      </c>
      <c r="H6" s="7" t="s">
        <v>12</v>
      </c>
      <c r="I6" s="8" t="s">
        <v>15</v>
      </c>
    </row>
    <row r="7" customFormat="false" ht="15" hidden="false" customHeight="false" outlineLevel="0" collapsed="false">
      <c r="A7" s="4" t="s">
        <v>16</v>
      </c>
      <c r="B7" s="4" t="n">
        <v>17</v>
      </c>
      <c r="C7" s="5" t="n">
        <v>42.84</v>
      </c>
      <c r="D7" s="5" t="n">
        <f aca="false">IFERROR(C7/B7,"n/a - 0 results")</f>
        <v>2.52</v>
      </c>
      <c r="E7" s="4" t="n">
        <v>2016</v>
      </c>
      <c r="F7" s="4" t="n">
        <v>53</v>
      </c>
      <c r="G7" s="6" t="n">
        <v>0.0216</v>
      </c>
      <c r="H7" s="9" t="s">
        <v>17</v>
      </c>
      <c r="I7" s="8" t="s">
        <v>18</v>
      </c>
    </row>
    <row r="8" customFormat="false" ht="15" hidden="false" customHeight="false" outlineLevel="0" collapsed="false">
      <c r="A8" s="4" t="s">
        <v>19</v>
      </c>
      <c r="B8" s="4" t="n">
        <v>32</v>
      </c>
      <c r="C8" s="5" t="n">
        <v>96.2</v>
      </c>
      <c r="D8" s="5" t="n">
        <f aca="false">IFERROR(C8/B8,"n/a - 0 results")</f>
        <v>3.00625</v>
      </c>
      <c r="E8" s="4" t="n">
        <v>3019</v>
      </c>
      <c r="F8" s="4" t="n">
        <v>73</v>
      </c>
      <c r="G8" s="6" t="n">
        <v>0.0181</v>
      </c>
      <c r="H8" s="9" t="s">
        <v>17</v>
      </c>
      <c r="I8" s="8" t="s">
        <v>20</v>
      </c>
    </row>
    <row r="9" customFormat="false" ht="15" hidden="false" customHeight="false" outlineLevel="0" collapsed="false">
      <c r="A9" s="4" t="s">
        <v>21</v>
      </c>
      <c r="B9" s="4" t="n">
        <v>8</v>
      </c>
      <c r="C9" s="5" t="n">
        <v>24.21</v>
      </c>
      <c r="D9" s="5" t="n">
        <f aca="false">IFERROR(C9/B9,"n/a - 0 results")</f>
        <v>3.02625</v>
      </c>
      <c r="E9" s="4" t="n">
        <v>1316</v>
      </c>
      <c r="F9" s="4" t="n">
        <v>31</v>
      </c>
      <c r="G9" s="6" t="n">
        <v>0.0209</v>
      </c>
      <c r="H9" s="9" t="s">
        <v>17</v>
      </c>
      <c r="I9" s="8" t="s">
        <v>22</v>
      </c>
    </row>
    <row r="10" customFormat="false" ht="22.35" hidden="false" customHeight="false" outlineLevel="0" collapsed="false">
      <c r="A10" s="4" t="s">
        <v>23</v>
      </c>
      <c r="B10" s="4" t="n">
        <v>35</v>
      </c>
      <c r="C10" s="5" t="n">
        <v>113.13</v>
      </c>
      <c r="D10" s="5" t="n">
        <f aca="false">IFERROR(C10/B10,"n/a - 0 results")</f>
        <v>3.23228571428571</v>
      </c>
      <c r="E10" s="4" t="n">
        <v>4102</v>
      </c>
      <c r="F10" s="4" t="n">
        <v>158</v>
      </c>
      <c r="G10" s="6" t="n">
        <v>0.0249</v>
      </c>
      <c r="H10" s="9" t="s">
        <v>17</v>
      </c>
      <c r="I10" s="8" t="s">
        <v>24</v>
      </c>
    </row>
    <row r="11" customFormat="false" ht="15" hidden="false" customHeight="false" outlineLevel="0" collapsed="false">
      <c r="A11" s="4" t="s">
        <v>25</v>
      </c>
      <c r="B11" s="4" t="n">
        <v>21</v>
      </c>
      <c r="C11" s="5" t="n">
        <v>72.14</v>
      </c>
      <c r="D11" s="5" t="n">
        <f aca="false">IFERROR(C11/B11,"n/a - 0 results")</f>
        <v>3.4352380952381</v>
      </c>
      <c r="E11" s="4" t="n">
        <v>4538</v>
      </c>
      <c r="F11" s="4" t="n">
        <v>85</v>
      </c>
      <c r="G11" s="6" t="n">
        <v>0.0154</v>
      </c>
      <c r="H11" s="9" t="s">
        <v>17</v>
      </c>
      <c r="I11" s="8" t="s">
        <v>26</v>
      </c>
    </row>
    <row r="12" customFormat="false" ht="22.35" hidden="false" customHeight="false" outlineLevel="0" collapsed="false">
      <c r="A12" s="4" t="s">
        <v>27</v>
      </c>
      <c r="B12" s="4" t="n">
        <v>26</v>
      </c>
      <c r="C12" s="5" t="n">
        <v>130.47</v>
      </c>
      <c r="D12" s="5" t="n">
        <f aca="false">IFERROR(C12/B12,"n/a - 0 results")</f>
        <v>5.01807692307692</v>
      </c>
      <c r="E12" s="4" t="n">
        <v>5880</v>
      </c>
      <c r="F12" s="4" t="n">
        <v>203</v>
      </c>
      <c r="G12" s="6" t="n">
        <v>0.0287</v>
      </c>
      <c r="H12" s="10" t="s">
        <v>28</v>
      </c>
      <c r="I12" s="8" t="s">
        <v>29</v>
      </c>
    </row>
    <row r="13" customFormat="false" ht="22.35" hidden="false" customHeight="false" outlineLevel="0" collapsed="false">
      <c r="A13" s="4" t="s">
        <v>30</v>
      </c>
      <c r="B13" s="4" t="n">
        <v>5</v>
      </c>
      <c r="C13" s="5" t="n">
        <v>26.34</v>
      </c>
      <c r="D13" s="5" t="n">
        <f aca="false">IFERROR(C13/B13,"n/a - 0 results")</f>
        <v>5.268</v>
      </c>
      <c r="E13" s="4" t="n">
        <v>969</v>
      </c>
      <c r="F13" s="4" t="n">
        <v>12</v>
      </c>
      <c r="G13" s="6" t="n">
        <v>0.0091</v>
      </c>
      <c r="H13" s="11" t="s">
        <v>31</v>
      </c>
      <c r="I13" s="8" t="s">
        <v>32</v>
      </c>
    </row>
    <row r="14" customFormat="false" ht="15" hidden="false" customHeight="false" outlineLevel="0" collapsed="false">
      <c r="A14" s="4" t="s">
        <v>33</v>
      </c>
      <c r="B14" s="4" t="n">
        <v>8</v>
      </c>
      <c r="C14" s="5" t="n">
        <v>48.8</v>
      </c>
      <c r="D14" s="5" t="n">
        <f aca="false">IFERROR(C14/B14,"n/a - 0 results")</f>
        <v>6.1</v>
      </c>
      <c r="E14" s="4" t="n">
        <v>2642</v>
      </c>
      <c r="F14" s="4" t="n">
        <v>76</v>
      </c>
      <c r="G14" s="6" t="n">
        <v>0.0245</v>
      </c>
      <c r="H14" s="10" t="s">
        <v>28</v>
      </c>
      <c r="I14" s="8" t="s">
        <v>34</v>
      </c>
    </row>
    <row r="15" customFormat="false" ht="32.8" hidden="false" customHeight="false" outlineLevel="0" collapsed="false">
      <c r="A15" s="4" t="s">
        <v>35</v>
      </c>
      <c r="B15" s="4" t="n">
        <v>1</v>
      </c>
      <c r="C15" s="5" t="n">
        <v>10.35</v>
      </c>
      <c r="D15" s="5" t="n">
        <f aca="false">IFERROR(C15/B15,"n/a - 0 results")</f>
        <v>10.35</v>
      </c>
      <c r="E15" s="4" t="n">
        <v>664</v>
      </c>
      <c r="F15" s="4" t="n">
        <v>22</v>
      </c>
      <c r="G15" s="6" t="n">
        <v>0.0313</v>
      </c>
      <c r="H15" s="11" t="s">
        <v>31</v>
      </c>
      <c r="I15" s="8" t="s">
        <v>36</v>
      </c>
    </row>
    <row r="16" customFormat="false" ht="22.35" hidden="false" customHeight="false" outlineLevel="0" collapsed="false">
      <c r="A16" s="4" t="s">
        <v>37</v>
      </c>
      <c r="B16" s="4" t="n">
        <v>1</v>
      </c>
      <c r="C16" s="5" t="n">
        <v>10.37</v>
      </c>
      <c r="D16" s="5" t="n">
        <f aca="false">IFERROR(C16/B16,"n/a - 0 results")</f>
        <v>10.37</v>
      </c>
      <c r="E16" s="4" t="n">
        <v>743</v>
      </c>
      <c r="F16" s="4" t="n">
        <v>16</v>
      </c>
      <c r="G16" s="6" t="n">
        <v>0.02</v>
      </c>
      <c r="H16" s="11" t="s">
        <v>31</v>
      </c>
      <c r="I16" s="8" t="s">
        <v>38</v>
      </c>
    </row>
    <row r="17" customFormat="false" ht="15" hidden="false" customHeight="false" outlineLevel="0" collapsed="false">
      <c r="A17" s="4" t="s">
        <v>39</v>
      </c>
      <c r="B17" s="4" t="n">
        <v>0</v>
      </c>
      <c r="C17" s="5" t="n">
        <v>5.53</v>
      </c>
      <c r="D17" s="5" t="str">
        <f aca="false">IFERROR(C17/B17,"n/a - 0 results")</f>
        <v>n/a - 0 results</v>
      </c>
      <c r="E17" s="4" t="n">
        <v>270</v>
      </c>
      <c r="F17" s="4" t="n">
        <v>2</v>
      </c>
      <c r="G17" s="6" t="n">
        <v>0.0063</v>
      </c>
      <c r="H17" s="11" t="s">
        <v>31</v>
      </c>
      <c r="I17" s="8" t="s">
        <v>40</v>
      </c>
    </row>
    <row r="18" customFormat="false" ht="15" hidden="false" customHeight="false" outlineLevel="0" collapsed="false">
      <c r="A18" s="4" t="s">
        <v>41</v>
      </c>
      <c r="B18" s="4" t="n">
        <v>0</v>
      </c>
      <c r="C18" s="5" t="n">
        <v>3.67</v>
      </c>
      <c r="D18" s="5" t="str">
        <f aca="false">IFERROR(C18/B18,"n/a - 0 results")</f>
        <v>n/a - 0 results</v>
      </c>
      <c r="E18" s="4" t="n">
        <v>152</v>
      </c>
      <c r="F18" s="4" t="n">
        <v>1</v>
      </c>
      <c r="G18" s="6" t="n">
        <v>0.0052</v>
      </c>
      <c r="H18" s="11" t="s">
        <v>31</v>
      </c>
      <c r="I18" s="8" t="s">
        <v>42</v>
      </c>
    </row>
    <row r="19" customFormat="false" ht="15" hidden="false" customHeight="false" outlineLevel="0" collapsed="false">
      <c r="A19" s="4" t="s">
        <v>43</v>
      </c>
      <c r="B19" s="4" t="n">
        <v>0</v>
      </c>
      <c r="C19" s="5" t="n">
        <v>9.32</v>
      </c>
      <c r="D19" s="5" t="str">
        <f aca="false">IFERROR(C19/B19,"n/a - 0 results")</f>
        <v>n/a - 0 results</v>
      </c>
      <c r="E19" s="4" t="n">
        <v>526</v>
      </c>
      <c r="F19" s="4" t="n">
        <v>5</v>
      </c>
      <c r="G19" s="6" t="n">
        <v>0.0086</v>
      </c>
      <c r="H19" s="11" t="s">
        <v>31</v>
      </c>
      <c r="I19" s="8" t="s">
        <v>44</v>
      </c>
    </row>
    <row r="20" customFormat="false" ht="15" hidden="false" customHeight="false" outlineLevel="0" collapsed="false">
      <c r="A20" s="4" t="s">
        <v>45</v>
      </c>
      <c r="B20" s="4" t="n">
        <v>0</v>
      </c>
      <c r="C20" s="5" t="n">
        <v>1.75</v>
      </c>
      <c r="D20" s="5" t="str">
        <f aca="false">IFERROR(C20/B20,"n/a - 0 results")</f>
        <v>n/a - 0 results</v>
      </c>
      <c r="E20" s="4" t="n">
        <v>132</v>
      </c>
      <c r="F20" s="4" t="n">
        <v>0</v>
      </c>
      <c r="G20" s="6" t="n">
        <v>0</v>
      </c>
      <c r="H20" s="12" t="s">
        <v>46</v>
      </c>
      <c r="I20" s="8" t="s">
        <v>47</v>
      </c>
    </row>
    <row r="21" customFormat="false" ht="15" hidden="false" customHeight="false" outlineLevel="0" collapsed="false">
      <c r="A21" s="4" t="s">
        <v>48</v>
      </c>
      <c r="B21" s="4" t="n">
        <v>0</v>
      </c>
      <c r="C21" s="5" t="n">
        <v>0.06</v>
      </c>
      <c r="D21" s="5" t="str">
        <f aca="false">IFERROR(C21/B21,"n/a - 0 results")</f>
        <v>n/a - 0 results</v>
      </c>
      <c r="E21" s="4" t="n">
        <v>3</v>
      </c>
      <c r="F21" s="4" t="n">
        <v>0</v>
      </c>
      <c r="G21" s="6" t="n">
        <v>0</v>
      </c>
      <c r="H21" s="12" t="s">
        <v>49</v>
      </c>
      <c r="I21" s="8" t="s">
        <v>50</v>
      </c>
    </row>
    <row r="23" customFormat="false" ht="15" hidden="false" customHeight="false" outlineLevel="0" collapsed="false">
      <c r="A23" s="13" t="s">
        <v>51</v>
      </c>
      <c r="B23" s="13" t="n">
        <f aca="false">SUM(B5:B21)</f>
        <v>343</v>
      </c>
      <c r="C23" s="14" t="n">
        <f aca="false">SUM(C5:C21)</f>
        <v>646.57</v>
      </c>
      <c r="D23" s="14" t="n">
        <f aca="false">IFERROR(C23/B23,"n/a")</f>
        <v>1.88504373177843</v>
      </c>
      <c r="E23" s="15"/>
      <c r="F23" s="15"/>
      <c r="G23" s="15"/>
      <c r="H23" s="15"/>
      <c r="I23" s="15"/>
    </row>
    <row r="25" customFormat="false" ht="15" hidden="false" customHeight="false" outlineLevel="0" collapsed="false">
      <c r="A25" s="16" t="s">
        <v>52</v>
      </c>
    </row>
    <row r="26" customFormat="false" ht="15" hidden="false" customHeight="false" outlineLevel="0" collapsed="false">
      <c r="A26" s="17" t="s">
        <v>12</v>
      </c>
      <c r="B26" s="18" t="s">
        <v>53</v>
      </c>
      <c r="C26" s="18"/>
      <c r="D26" s="18"/>
      <c r="E26" s="18"/>
      <c r="F26" s="18"/>
      <c r="G26" s="18"/>
      <c r="H26" s="18"/>
      <c r="I26" s="18"/>
    </row>
    <row r="27" customFormat="false" ht="15" hidden="false" customHeight="false" outlineLevel="0" collapsed="false">
      <c r="A27" s="19" t="s">
        <v>17</v>
      </c>
      <c r="B27" s="18" t="s">
        <v>54</v>
      </c>
      <c r="C27" s="18"/>
      <c r="D27" s="18"/>
      <c r="E27" s="18"/>
      <c r="F27" s="18"/>
      <c r="G27" s="18"/>
      <c r="H27" s="18"/>
      <c r="I27" s="18"/>
    </row>
    <row r="28" customFormat="false" ht="15" hidden="false" customHeight="false" outlineLevel="0" collapsed="false">
      <c r="A28" s="20" t="s">
        <v>28</v>
      </c>
      <c r="B28" s="18" t="s">
        <v>55</v>
      </c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21" t="s">
        <v>31</v>
      </c>
      <c r="B29" s="18" t="s">
        <v>56</v>
      </c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A30" s="22" t="s">
        <v>57</v>
      </c>
      <c r="B30" s="18" t="s">
        <v>58</v>
      </c>
      <c r="C30" s="18"/>
      <c r="D30" s="18"/>
      <c r="E30" s="18"/>
      <c r="F30" s="18"/>
      <c r="G30" s="18"/>
      <c r="H30" s="18"/>
      <c r="I30" s="18"/>
    </row>
    <row r="33" customFormat="false" ht="15" hidden="false" customHeight="false" outlineLevel="0" collapsed="false">
      <c r="A33" s="23" t="s">
        <v>59</v>
      </c>
      <c r="B33" s="23"/>
      <c r="C33" s="23"/>
      <c r="D33" s="23"/>
      <c r="E33" s="23"/>
      <c r="F33" s="23"/>
      <c r="G33" s="23"/>
      <c r="H33" s="23"/>
      <c r="I33" s="23"/>
    </row>
    <row r="34" customFormat="false" ht="26.85" hidden="false" customHeight="false" outlineLevel="0" collapsed="false">
      <c r="A34" s="24" t="s">
        <v>2</v>
      </c>
      <c r="B34" s="24" t="s">
        <v>3</v>
      </c>
      <c r="C34" s="24" t="s">
        <v>4</v>
      </c>
      <c r="D34" s="24" t="s">
        <v>5</v>
      </c>
      <c r="E34" s="24" t="s">
        <v>6</v>
      </c>
      <c r="F34" s="24" t="s">
        <v>7</v>
      </c>
      <c r="G34" s="24" t="s">
        <v>8</v>
      </c>
      <c r="H34" s="24" t="s">
        <v>9</v>
      </c>
      <c r="I34" s="24" t="s">
        <v>10</v>
      </c>
    </row>
    <row r="35" customFormat="false" ht="45" hidden="false" customHeight="true" outlineLevel="0" collapsed="false">
      <c r="A35" s="4" t="s">
        <v>60</v>
      </c>
      <c r="B35" s="4" t="n">
        <v>1</v>
      </c>
      <c r="C35" s="5" t="n">
        <v>51.05</v>
      </c>
      <c r="D35" s="5" t="n">
        <f aca="false">IFERROR(C35/B35,"n/a")</f>
        <v>51.05</v>
      </c>
      <c r="E35" s="4" t="n">
        <v>3825</v>
      </c>
      <c r="F35" s="4" t="n">
        <v>93</v>
      </c>
      <c r="G35" s="6" t="n">
        <v>0.0225</v>
      </c>
      <c r="H35" s="25" t="s">
        <v>61</v>
      </c>
      <c r="I35" s="8" t="s">
        <v>62</v>
      </c>
    </row>
  </sheetData>
  <mergeCells count="8">
    <mergeCell ref="A1:H1"/>
    <mergeCell ref="A2:I2"/>
    <mergeCell ref="B26:I26"/>
    <mergeCell ref="B27:I27"/>
    <mergeCell ref="B28:I28"/>
    <mergeCell ref="B29:I29"/>
    <mergeCell ref="B30:I30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6.8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5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</row>
    <row r="5" customFormat="false" ht="15" hidden="false" customHeight="false" outlineLevel="0" collapsed="false">
      <c r="A5" s="26" t="s">
        <v>75</v>
      </c>
      <c r="B5" s="27" t="n">
        <v>15</v>
      </c>
      <c r="C5" s="26" t="n">
        <v>6</v>
      </c>
      <c r="D5" s="28" t="n">
        <f aca="false">IFERROR(B5/C5,"-")</f>
        <v>2.5</v>
      </c>
      <c r="E5" s="26" t="n">
        <v>5</v>
      </c>
      <c r="F5" s="26" t="n">
        <v>4</v>
      </c>
      <c r="G5" s="26" t="n">
        <v>2</v>
      </c>
      <c r="H5" s="27" t="n">
        <v>250</v>
      </c>
      <c r="I5" s="28" t="n">
        <f aca="false">IFERROR(B5/G5,"-")</f>
        <v>7.5</v>
      </c>
      <c r="J5" s="29" t="n">
        <f aca="false">IFERROR(G5/C5,"-")</f>
        <v>0.333333333333333</v>
      </c>
      <c r="K5" s="30" t="n">
        <f aca="false">IFERROR(H5/B5,"-")</f>
        <v>16.6666666666667</v>
      </c>
    </row>
    <row r="6" customFormat="false" ht="15" hidden="false" customHeight="false" outlineLevel="0" collapsed="false">
      <c r="A6" s="26"/>
      <c r="B6" s="27"/>
      <c r="C6" s="26"/>
      <c r="D6" s="28" t="str">
        <f aca="false">IFERROR(B6/C6,"-")</f>
        <v>-</v>
      </c>
      <c r="E6" s="26"/>
      <c r="F6" s="26"/>
      <c r="G6" s="26"/>
      <c r="H6" s="27"/>
      <c r="I6" s="28" t="str">
        <f aca="false">IFERROR(B6/G6,"-")</f>
        <v>-</v>
      </c>
      <c r="J6" s="29" t="str">
        <f aca="false">IFERROR(G6/C6,"-")</f>
        <v>-</v>
      </c>
      <c r="K6" s="30" t="str">
        <f aca="false">IFERROR(H6/B6,"-")</f>
        <v>-</v>
      </c>
    </row>
    <row r="7" customFormat="false" ht="15" hidden="false" customHeight="false" outlineLevel="0" collapsed="false">
      <c r="A7" s="26"/>
      <c r="B7" s="27"/>
      <c r="C7" s="26"/>
      <c r="D7" s="28" t="str">
        <f aca="false">IFERROR(B7/C7,"-")</f>
        <v>-</v>
      </c>
      <c r="E7" s="26"/>
      <c r="F7" s="26"/>
      <c r="G7" s="26"/>
      <c r="H7" s="27"/>
      <c r="I7" s="28" t="str">
        <f aca="false">IFERROR(B7/G7,"-")</f>
        <v>-</v>
      </c>
      <c r="J7" s="29" t="str">
        <f aca="false">IFERROR(G7/C7,"-")</f>
        <v>-</v>
      </c>
      <c r="K7" s="30" t="str">
        <f aca="false">IFERROR(H7/B7,"-")</f>
        <v>-</v>
      </c>
    </row>
    <row r="8" customFormat="false" ht="15" hidden="false" customHeight="false" outlineLevel="0" collapsed="false">
      <c r="A8" s="26"/>
      <c r="B8" s="27"/>
      <c r="C8" s="26"/>
      <c r="D8" s="28" t="str">
        <f aca="false">IFERROR(B8/C8,"-")</f>
        <v>-</v>
      </c>
      <c r="E8" s="26"/>
      <c r="F8" s="26"/>
      <c r="G8" s="26"/>
      <c r="H8" s="27"/>
      <c r="I8" s="28" t="str">
        <f aca="false">IFERROR(B8/G8,"-")</f>
        <v>-</v>
      </c>
      <c r="J8" s="29" t="str">
        <f aca="false">IFERROR(G8/C8,"-")</f>
        <v>-</v>
      </c>
      <c r="K8" s="30" t="str">
        <f aca="false">IFERROR(H8/B8,"-")</f>
        <v>-</v>
      </c>
    </row>
    <row r="9" customFormat="false" ht="15" hidden="false" customHeight="false" outlineLevel="0" collapsed="false">
      <c r="A9" s="26"/>
      <c r="B9" s="27"/>
      <c r="C9" s="26"/>
      <c r="D9" s="28" t="str">
        <f aca="false">IFERROR(B9/C9,"-")</f>
        <v>-</v>
      </c>
      <c r="E9" s="26"/>
      <c r="F9" s="26"/>
      <c r="G9" s="26"/>
      <c r="H9" s="27"/>
      <c r="I9" s="28" t="str">
        <f aca="false">IFERROR(B9/G9,"-")</f>
        <v>-</v>
      </c>
      <c r="J9" s="29" t="str">
        <f aca="false">IFERROR(G9/C9,"-")</f>
        <v>-</v>
      </c>
      <c r="K9" s="30" t="str">
        <f aca="false">IFERROR(H9/B9,"-")</f>
        <v>-</v>
      </c>
    </row>
    <row r="10" customFormat="false" ht="15" hidden="false" customHeight="false" outlineLevel="0" collapsed="false">
      <c r="A10" s="26"/>
      <c r="B10" s="27"/>
      <c r="C10" s="26"/>
      <c r="D10" s="28" t="str">
        <f aca="false">IFERROR(B10/C10,"-")</f>
        <v>-</v>
      </c>
      <c r="E10" s="26"/>
      <c r="F10" s="26"/>
      <c r="G10" s="26"/>
      <c r="H10" s="27"/>
      <c r="I10" s="28" t="str">
        <f aca="false">IFERROR(B10/G10,"-")</f>
        <v>-</v>
      </c>
      <c r="J10" s="29" t="str">
        <f aca="false">IFERROR(G10/C10,"-")</f>
        <v>-</v>
      </c>
      <c r="K10" s="30" t="str">
        <f aca="false">IFERROR(H10/B10,"-")</f>
        <v>-</v>
      </c>
    </row>
    <row r="11" customFormat="false" ht="15" hidden="false" customHeight="false" outlineLevel="0" collapsed="false">
      <c r="A11" s="26"/>
      <c r="B11" s="27"/>
      <c r="C11" s="26"/>
      <c r="D11" s="28" t="str">
        <f aca="false">IFERROR(B11/C11,"-")</f>
        <v>-</v>
      </c>
      <c r="E11" s="26"/>
      <c r="F11" s="26"/>
      <c r="G11" s="26"/>
      <c r="H11" s="27"/>
      <c r="I11" s="28" t="str">
        <f aca="false">IFERROR(B11/G11,"-")</f>
        <v>-</v>
      </c>
      <c r="J11" s="29" t="str">
        <f aca="false">IFERROR(G11/C11,"-")</f>
        <v>-</v>
      </c>
      <c r="K11" s="30" t="str">
        <f aca="false">IFERROR(H11/B11,"-")</f>
        <v>-</v>
      </c>
    </row>
    <row r="12" customFormat="false" ht="15" hidden="false" customHeight="false" outlineLevel="0" collapsed="false">
      <c r="A12" s="26"/>
      <c r="B12" s="27"/>
      <c r="C12" s="26"/>
      <c r="D12" s="28" t="str">
        <f aca="false">IFERROR(B12/C12,"-")</f>
        <v>-</v>
      </c>
      <c r="E12" s="26"/>
      <c r="F12" s="26"/>
      <c r="G12" s="26"/>
      <c r="H12" s="27"/>
      <c r="I12" s="28" t="str">
        <f aca="false">IFERROR(B12/G12,"-")</f>
        <v>-</v>
      </c>
      <c r="J12" s="29" t="str">
        <f aca="false">IFERROR(G12/C12,"-")</f>
        <v>-</v>
      </c>
      <c r="K12" s="30" t="str">
        <f aca="false">IFERROR(H12/B12,"-")</f>
        <v>-</v>
      </c>
    </row>
    <row r="13" customFormat="false" ht="15" hidden="false" customHeight="false" outlineLevel="0" collapsed="false">
      <c r="A13" s="26"/>
      <c r="B13" s="27"/>
      <c r="C13" s="26"/>
      <c r="D13" s="28" t="str">
        <f aca="false">IFERROR(B13/C13,"-")</f>
        <v>-</v>
      </c>
      <c r="E13" s="26"/>
      <c r="F13" s="26"/>
      <c r="G13" s="26"/>
      <c r="H13" s="27"/>
      <c r="I13" s="28" t="str">
        <f aca="false">IFERROR(B13/G13,"-")</f>
        <v>-</v>
      </c>
      <c r="J13" s="29" t="str">
        <f aca="false">IFERROR(G13/C13,"-")</f>
        <v>-</v>
      </c>
      <c r="K13" s="30" t="str">
        <f aca="false">IFERROR(H13/B13,"-")</f>
        <v>-</v>
      </c>
    </row>
    <row r="14" customFormat="false" ht="15" hidden="false" customHeight="false" outlineLevel="0" collapsed="false">
      <c r="A14" s="26"/>
      <c r="B14" s="27"/>
      <c r="C14" s="26"/>
      <c r="D14" s="28" t="str">
        <f aca="false">IFERROR(B14/C14,"-")</f>
        <v>-</v>
      </c>
      <c r="E14" s="26"/>
      <c r="F14" s="26"/>
      <c r="G14" s="26"/>
      <c r="H14" s="27"/>
      <c r="I14" s="28" t="str">
        <f aca="false">IFERROR(B14/G14,"-")</f>
        <v>-</v>
      </c>
      <c r="J14" s="29" t="str">
        <f aca="false">IFERROR(G14/C14,"-")</f>
        <v>-</v>
      </c>
      <c r="K14" s="30" t="str">
        <f aca="false">IFERROR(H14/B14,"-")</f>
        <v>-</v>
      </c>
    </row>
    <row r="15" customFormat="false" ht="15" hidden="false" customHeight="false" outlineLevel="0" collapsed="false">
      <c r="A15" s="26"/>
      <c r="B15" s="27"/>
      <c r="C15" s="26"/>
      <c r="D15" s="28" t="str">
        <f aca="false">IFERROR(B15/C15,"-")</f>
        <v>-</v>
      </c>
      <c r="E15" s="26"/>
      <c r="F15" s="26"/>
      <c r="G15" s="26"/>
      <c r="H15" s="27"/>
      <c r="I15" s="28" t="str">
        <f aca="false">IFERROR(B15/G15,"-")</f>
        <v>-</v>
      </c>
      <c r="J15" s="29" t="str">
        <f aca="false">IFERROR(G15/C15,"-")</f>
        <v>-</v>
      </c>
      <c r="K15" s="30" t="str">
        <f aca="false">IFERROR(H15/B15,"-")</f>
        <v>-</v>
      </c>
    </row>
    <row r="16" customFormat="false" ht="15" hidden="false" customHeight="false" outlineLevel="0" collapsed="false">
      <c r="A16" s="26"/>
      <c r="B16" s="27"/>
      <c r="C16" s="26"/>
      <c r="D16" s="28" t="str">
        <f aca="false">IFERROR(B16/C16,"-")</f>
        <v>-</v>
      </c>
      <c r="E16" s="26"/>
      <c r="F16" s="26"/>
      <c r="G16" s="26"/>
      <c r="H16" s="27"/>
      <c r="I16" s="28" t="str">
        <f aca="false">IFERROR(B16/G16,"-")</f>
        <v>-</v>
      </c>
      <c r="J16" s="29" t="str">
        <f aca="false">IFERROR(G16/C16,"-")</f>
        <v>-</v>
      </c>
      <c r="K16" s="30" t="str">
        <f aca="false">IFERROR(H16/B16,"-")</f>
        <v>-</v>
      </c>
    </row>
    <row r="17" customFormat="false" ht="15" hidden="false" customHeight="false" outlineLevel="0" collapsed="false">
      <c r="A17" s="26"/>
      <c r="B17" s="27"/>
      <c r="C17" s="26"/>
      <c r="D17" s="28" t="str">
        <f aca="false">IFERROR(B17/C17,"-")</f>
        <v>-</v>
      </c>
      <c r="E17" s="26"/>
      <c r="F17" s="26"/>
      <c r="G17" s="26"/>
      <c r="H17" s="27"/>
      <c r="I17" s="28" t="str">
        <f aca="false">IFERROR(B17/G17,"-")</f>
        <v>-</v>
      </c>
      <c r="J17" s="29" t="str">
        <f aca="false">IFERROR(G17/C17,"-")</f>
        <v>-</v>
      </c>
      <c r="K17" s="30" t="str">
        <f aca="false">IFERROR(H17/B17,"-")</f>
        <v>-</v>
      </c>
    </row>
    <row r="18" customFormat="false" ht="15" hidden="false" customHeight="false" outlineLevel="0" collapsed="false">
      <c r="A18" s="26"/>
      <c r="B18" s="27"/>
      <c r="C18" s="26"/>
      <c r="D18" s="28" t="str">
        <f aca="false">IFERROR(B18/C18,"-")</f>
        <v>-</v>
      </c>
      <c r="E18" s="26"/>
      <c r="F18" s="26"/>
      <c r="G18" s="26"/>
      <c r="H18" s="27"/>
      <c r="I18" s="28" t="str">
        <f aca="false">IFERROR(B18/G18,"-")</f>
        <v>-</v>
      </c>
      <c r="J18" s="29" t="str">
        <f aca="false">IFERROR(G18/C18,"-")</f>
        <v>-</v>
      </c>
      <c r="K18" s="30" t="str">
        <f aca="false">IFERROR(H18/B18,"-")</f>
        <v>-</v>
      </c>
    </row>
    <row r="19" customFormat="false" ht="15" hidden="false" customHeight="false" outlineLevel="0" collapsed="false">
      <c r="A19" s="26"/>
      <c r="B19" s="27"/>
      <c r="C19" s="26"/>
      <c r="D19" s="28" t="str">
        <f aca="false">IFERROR(B19/C19,"-")</f>
        <v>-</v>
      </c>
      <c r="E19" s="26"/>
      <c r="F19" s="26"/>
      <c r="G19" s="26"/>
      <c r="H19" s="27"/>
      <c r="I19" s="28" t="str">
        <f aca="false">IFERROR(B19/G19,"-")</f>
        <v>-</v>
      </c>
      <c r="J19" s="29" t="str">
        <f aca="false">IFERROR(G19/C19,"-")</f>
        <v>-</v>
      </c>
      <c r="K19" s="30" t="str">
        <f aca="false">IFERROR(H19/B19,"-")</f>
        <v>-</v>
      </c>
    </row>
    <row r="20" customFormat="false" ht="15" hidden="false" customHeight="false" outlineLevel="0" collapsed="false">
      <c r="A20" s="26"/>
      <c r="B20" s="27"/>
      <c r="C20" s="26"/>
      <c r="D20" s="28" t="str">
        <f aca="false">IFERROR(B20/C20,"-")</f>
        <v>-</v>
      </c>
      <c r="E20" s="26"/>
      <c r="F20" s="26"/>
      <c r="G20" s="26"/>
      <c r="H20" s="27"/>
      <c r="I20" s="28" t="str">
        <f aca="false">IFERROR(B20/G20,"-")</f>
        <v>-</v>
      </c>
      <c r="J20" s="29" t="str">
        <f aca="false">IFERROR(G20/C20,"-")</f>
        <v>-</v>
      </c>
      <c r="K20" s="30" t="str">
        <f aca="false">IFERROR(H20/B20,"-")</f>
        <v>-</v>
      </c>
    </row>
    <row r="21" customFormat="false" ht="15" hidden="false" customHeight="false" outlineLevel="0" collapsed="false">
      <c r="A21" s="26"/>
      <c r="B21" s="27"/>
      <c r="C21" s="26"/>
      <c r="D21" s="28" t="str">
        <f aca="false">IFERROR(B21/C21,"-")</f>
        <v>-</v>
      </c>
      <c r="E21" s="26"/>
      <c r="F21" s="26"/>
      <c r="G21" s="26"/>
      <c r="H21" s="27"/>
      <c r="I21" s="28" t="str">
        <f aca="false">IFERROR(B21/G21,"-")</f>
        <v>-</v>
      </c>
      <c r="J21" s="29" t="str">
        <f aca="false">IFERROR(G21/C21,"-")</f>
        <v>-</v>
      </c>
      <c r="K21" s="30" t="str">
        <f aca="false">IFERROR(H21/B21,"-")</f>
        <v>-</v>
      </c>
    </row>
    <row r="22" customFormat="false" ht="15" hidden="false" customHeight="false" outlineLevel="0" collapsed="false">
      <c r="A22" s="26"/>
      <c r="B22" s="27"/>
      <c r="C22" s="26"/>
      <c r="D22" s="28" t="str">
        <f aca="false">IFERROR(B22/C22,"-")</f>
        <v>-</v>
      </c>
      <c r="E22" s="26"/>
      <c r="F22" s="26"/>
      <c r="G22" s="26"/>
      <c r="H22" s="27"/>
      <c r="I22" s="28" t="str">
        <f aca="false">IFERROR(B22/G22,"-")</f>
        <v>-</v>
      </c>
      <c r="J22" s="29" t="str">
        <f aca="false">IFERROR(G22/C22,"-")</f>
        <v>-</v>
      </c>
      <c r="K22" s="30" t="str">
        <f aca="false">IFERROR(H22/B22,"-")</f>
        <v>-</v>
      </c>
    </row>
    <row r="23" customFormat="false" ht="15" hidden="false" customHeight="false" outlineLevel="0" collapsed="false">
      <c r="A23" s="26"/>
      <c r="B23" s="27"/>
      <c r="C23" s="26"/>
      <c r="D23" s="28" t="str">
        <f aca="false">IFERROR(B23/C23,"-")</f>
        <v>-</v>
      </c>
      <c r="E23" s="26"/>
      <c r="F23" s="26"/>
      <c r="G23" s="26"/>
      <c r="H23" s="27"/>
      <c r="I23" s="28" t="str">
        <f aca="false">IFERROR(B23/G23,"-")</f>
        <v>-</v>
      </c>
      <c r="J23" s="29" t="str">
        <f aca="false">IFERROR(G23/C23,"-")</f>
        <v>-</v>
      </c>
      <c r="K23" s="30" t="str">
        <f aca="false">IFERROR(H23/B23,"-")</f>
        <v>-</v>
      </c>
    </row>
    <row r="24" customFormat="false" ht="15" hidden="false" customHeight="false" outlineLevel="0" collapsed="false">
      <c r="A24" s="26"/>
      <c r="B24" s="27"/>
      <c r="C24" s="26"/>
      <c r="D24" s="28" t="str">
        <f aca="false">IFERROR(B24/C24,"-")</f>
        <v>-</v>
      </c>
      <c r="E24" s="26"/>
      <c r="F24" s="26"/>
      <c r="G24" s="26"/>
      <c r="H24" s="27"/>
      <c r="I24" s="28" t="str">
        <f aca="false">IFERROR(B24/G24,"-")</f>
        <v>-</v>
      </c>
      <c r="J24" s="29" t="str">
        <f aca="false">IFERROR(G24/C24,"-")</f>
        <v>-</v>
      </c>
      <c r="K24" s="30" t="str">
        <f aca="false">IFERROR(H24/B24,"-")</f>
        <v>-</v>
      </c>
    </row>
    <row r="25" customFormat="false" ht="15" hidden="false" customHeight="false" outlineLevel="0" collapsed="false">
      <c r="A25" s="26"/>
      <c r="B25" s="27"/>
      <c r="C25" s="26"/>
      <c r="D25" s="28" t="str">
        <f aca="false">IFERROR(B25/C25,"-")</f>
        <v>-</v>
      </c>
      <c r="E25" s="26"/>
      <c r="F25" s="26"/>
      <c r="G25" s="26"/>
      <c r="H25" s="27"/>
      <c r="I25" s="28" t="str">
        <f aca="false">IFERROR(B25/G25,"-")</f>
        <v>-</v>
      </c>
      <c r="J25" s="29" t="str">
        <f aca="false">IFERROR(G25/C25,"-")</f>
        <v>-</v>
      </c>
      <c r="K25" s="30" t="str">
        <f aca="false">IFERROR(H25/B25,"-")</f>
        <v>-</v>
      </c>
    </row>
    <row r="26" customFormat="false" ht="15" hidden="false" customHeight="false" outlineLevel="0" collapsed="false">
      <c r="A26" s="26"/>
      <c r="B26" s="27"/>
      <c r="C26" s="26"/>
      <c r="D26" s="28" t="str">
        <f aca="false">IFERROR(B26/C26,"-")</f>
        <v>-</v>
      </c>
      <c r="E26" s="26"/>
      <c r="F26" s="26"/>
      <c r="G26" s="26"/>
      <c r="H26" s="27"/>
      <c r="I26" s="28" t="str">
        <f aca="false">IFERROR(B26/G26,"-")</f>
        <v>-</v>
      </c>
      <c r="J26" s="29" t="str">
        <f aca="false">IFERROR(G26/C26,"-")</f>
        <v>-</v>
      </c>
      <c r="K26" s="30" t="str">
        <f aca="false">IFERROR(H26/B26,"-")</f>
        <v>-</v>
      </c>
    </row>
    <row r="27" customFormat="false" ht="15" hidden="false" customHeight="false" outlineLevel="0" collapsed="false">
      <c r="A27" s="26"/>
      <c r="B27" s="27"/>
      <c r="C27" s="26"/>
      <c r="D27" s="28" t="str">
        <f aca="false">IFERROR(B27/C27,"-")</f>
        <v>-</v>
      </c>
      <c r="E27" s="26"/>
      <c r="F27" s="26"/>
      <c r="G27" s="26"/>
      <c r="H27" s="27"/>
      <c r="I27" s="28" t="str">
        <f aca="false">IFERROR(B27/G27,"-")</f>
        <v>-</v>
      </c>
      <c r="J27" s="29" t="str">
        <f aca="false">IFERROR(G27/C27,"-")</f>
        <v>-</v>
      </c>
      <c r="K27" s="30" t="str">
        <f aca="false">IFERROR(H27/B27,"-")</f>
        <v>-</v>
      </c>
    </row>
    <row r="28" customFormat="false" ht="15" hidden="false" customHeight="false" outlineLevel="0" collapsed="false">
      <c r="A28" s="26"/>
      <c r="B28" s="27"/>
      <c r="C28" s="26"/>
      <c r="D28" s="28" t="str">
        <f aca="false">IFERROR(B28/C28,"-")</f>
        <v>-</v>
      </c>
      <c r="E28" s="26"/>
      <c r="F28" s="26"/>
      <c r="G28" s="26"/>
      <c r="H28" s="27"/>
      <c r="I28" s="28" t="str">
        <f aca="false">IFERROR(B28/G28,"-")</f>
        <v>-</v>
      </c>
      <c r="J28" s="29" t="str">
        <f aca="false">IFERROR(G28/C28,"-")</f>
        <v>-</v>
      </c>
      <c r="K28" s="30" t="str">
        <f aca="false">IFERROR(H28/B28,"-")</f>
        <v>-</v>
      </c>
    </row>
    <row r="29" customFormat="false" ht="15" hidden="false" customHeight="false" outlineLevel="0" collapsed="false">
      <c r="A29" s="26"/>
      <c r="B29" s="27"/>
      <c r="C29" s="26"/>
      <c r="D29" s="28" t="str">
        <f aca="false">IFERROR(B29/C29,"-")</f>
        <v>-</v>
      </c>
      <c r="E29" s="26"/>
      <c r="F29" s="26"/>
      <c r="G29" s="26"/>
      <c r="H29" s="27"/>
      <c r="I29" s="28" t="str">
        <f aca="false">IFERROR(B29/G29,"-")</f>
        <v>-</v>
      </c>
      <c r="J29" s="29" t="str">
        <f aca="false">IFERROR(G29/C29,"-")</f>
        <v>-</v>
      </c>
      <c r="K29" s="30" t="str">
        <f aca="false">IFERROR(H29/B29,"-")</f>
        <v>-</v>
      </c>
    </row>
    <row r="30" customFormat="false" ht="15" hidden="false" customHeight="false" outlineLevel="0" collapsed="false">
      <c r="A30" s="26"/>
      <c r="B30" s="27"/>
      <c r="C30" s="26"/>
      <c r="D30" s="28" t="str">
        <f aca="false">IFERROR(B30/C30,"-")</f>
        <v>-</v>
      </c>
      <c r="E30" s="26"/>
      <c r="F30" s="26"/>
      <c r="G30" s="26"/>
      <c r="H30" s="27"/>
      <c r="I30" s="28" t="str">
        <f aca="false">IFERROR(B30/G30,"-")</f>
        <v>-</v>
      </c>
      <c r="J30" s="29" t="str">
        <f aca="false">IFERROR(G30/C30,"-")</f>
        <v>-</v>
      </c>
      <c r="K30" s="30" t="str">
        <f aca="false">IFERROR(H30/B30,"-")</f>
        <v>-</v>
      </c>
    </row>
    <row r="32" customFormat="false" ht="15" hidden="false" customHeight="false" outlineLevel="0" collapsed="false">
      <c r="A32" s="13" t="s">
        <v>76</v>
      </c>
      <c r="B32" s="14" t="n">
        <f aca="false">SUM(B5:B30)</f>
        <v>15</v>
      </c>
      <c r="C32" s="13" t="n">
        <f aca="false">SUM(C5:C30)</f>
        <v>6</v>
      </c>
      <c r="D32" s="14" t="n">
        <f aca="false">IFERROR(B32/C32,"-")</f>
        <v>2.5</v>
      </c>
      <c r="E32" s="13" t="n">
        <f aca="false">SUM(E5:E30)</f>
        <v>5</v>
      </c>
      <c r="F32" s="13" t="n">
        <f aca="false">SUM(F5:F30)</f>
        <v>4</v>
      </c>
      <c r="G32" s="13" t="n">
        <f aca="false">SUM(G5:G30)</f>
        <v>2</v>
      </c>
      <c r="H32" s="14" t="n">
        <f aca="false">SUM(H5:H30)</f>
        <v>250</v>
      </c>
      <c r="I32" s="14" t="n">
        <f aca="false">IFERROR(B32/G32,"-")</f>
        <v>7.5</v>
      </c>
      <c r="J32" s="31" t="n">
        <f aca="false">IFERROR(G32/C32,"-")</f>
        <v>0.333333333333333</v>
      </c>
      <c r="K32" s="32" t="n">
        <f aca="false">IFERROR(H32/B32,"-")</f>
        <v>16.6666666666667</v>
      </c>
    </row>
    <row r="34" customFormat="false" ht="15" hidden="false" customHeight="false" outlineLevel="0" collapsed="false">
      <c r="A34" s="16" t="s">
        <v>77</v>
      </c>
    </row>
    <row r="35" customFormat="false" ht="15" hidden="false" customHeight="false" outlineLevel="0" collapsed="false">
      <c r="A35" s="33" t="s">
        <v>78</v>
      </c>
      <c r="B35" s="18" t="s">
        <v>79</v>
      </c>
      <c r="C35" s="18"/>
      <c r="D35" s="18"/>
      <c r="E35" s="18"/>
      <c r="F35" s="18"/>
      <c r="G35" s="18"/>
      <c r="H35" s="18"/>
      <c r="I35" s="18"/>
      <c r="J35" s="18"/>
      <c r="K35" s="18"/>
    </row>
    <row r="36" customFormat="false" ht="15" hidden="false" customHeight="false" outlineLevel="0" collapsed="false">
      <c r="A36" s="34" t="s">
        <v>80</v>
      </c>
      <c r="B36" s="18" t="s">
        <v>81</v>
      </c>
      <c r="C36" s="18"/>
      <c r="D36" s="18"/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A37" s="35" t="s">
        <v>82</v>
      </c>
      <c r="B37" s="18" t="s">
        <v>83</v>
      </c>
      <c r="C37" s="18"/>
      <c r="D37" s="18"/>
      <c r="E37" s="18"/>
      <c r="F37" s="18"/>
      <c r="G37" s="18"/>
      <c r="H37" s="18"/>
      <c r="I37" s="18"/>
      <c r="J37" s="18"/>
      <c r="K37" s="18"/>
    </row>
  </sheetData>
  <mergeCells count="5">
    <mergeCell ref="A1:K1"/>
    <mergeCell ref="A2:K2"/>
    <mergeCell ref="B35:K35"/>
    <mergeCell ref="B36:K36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2026-08-19T23:04:56Z</dcterms:created>
  <dc:creator>openpyxl</dc:creator>
  <dc:description/>
  <dc:language>en-US</dc:language>
  <cp:lastModifiedBy/>
  <dcterms:modified xsi:type="dcterms:W3CDTF">2026-08-19T23:04:56Z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